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ZinukovD\source\repos\Northwind_BI_Solution\Docs\"/>
    </mc:Choice>
  </mc:AlternateContent>
  <xr:revisionPtr revIDLastSave="0" documentId="8_{608E2D08-4C86-4754-A83A-E10D334BFD53}" xr6:coauthVersionLast="36" xr6:coauthVersionMax="36" xr10:uidLastSave="{00000000-0000-0000-0000-000000000000}"/>
  <bookViews>
    <workbookView xWindow="0" yWindow="0" windowWidth="23040" windowHeight="9060" activeTab="3" xr2:uid="{5DF14770-73B9-46EF-941C-C74709FB0B67}"/>
  </bookViews>
  <sheets>
    <sheet name="Parameters" sheetId="8" r:id="rId1"/>
    <sheet name="Tasks" sheetId="6" r:id="rId2"/>
    <sheet name="Resources" sheetId="1" r:id="rId3"/>
    <sheet name="Assign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6" l="1"/>
  <c r="D18" i="6"/>
  <c r="C11" i="3"/>
  <c r="C6" i="3"/>
  <c r="C3" i="3"/>
  <c r="C21" i="8"/>
  <c r="C22" i="8"/>
  <c r="C23" i="8"/>
  <c r="C20" i="8"/>
  <c r="C17" i="8"/>
  <c r="C18" i="8"/>
  <c r="C19" i="8"/>
  <c r="C16" i="8"/>
  <c r="C3" i="8"/>
  <c r="C4" i="8"/>
  <c r="C5" i="8"/>
  <c r="C6" i="8"/>
  <c r="C7" i="8"/>
  <c r="C8" i="8"/>
  <c r="C9" i="8"/>
  <c r="D31" i="3" s="1"/>
  <c r="D16" i="6" s="1"/>
  <c r="C10" i="8"/>
  <c r="D18" i="3" s="1"/>
  <c r="C11" i="8"/>
  <c r="C2" i="8"/>
  <c r="C15" i="8"/>
  <c r="C14" i="8"/>
  <c r="C13" i="8"/>
  <c r="C18" i="6"/>
  <c r="C16" i="6"/>
  <c r="C31" i="3"/>
  <c r="C17" i="6"/>
  <c r="C18" i="3"/>
  <c r="C17" i="3"/>
  <c r="C15" i="3"/>
  <c r="C15" i="6" s="1"/>
  <c r="C14" i="3"/>
  <c r="C13" i="3"/>
  <c r="C12" i="3"/>
  <c r="C8" i="3"/>
  <c r="D15" i="3" l="1"/>
  <c r="D15" i="6" s="1"/>
  <c r="D17" i="3"/>
  <c r="D13" i="3"/>
  <c r="D3" i="3"/>
  <c r="D14" i="3"/>
  <c r="D11" i="3"/>
  <c r="D12" i="3"/>
  <c r="D6" i="3"/>
  <c r="D8" i="3"/>
  <c r="C6" i="6"/>
  <c r="C22" i="3"/>
  <c r="D12" i="6"/>
  <c r="D27" i="3"/>
  <c r="D25" i="3"/>
  <c r="D9" i="6"/>
  <c r="C25" i="3"/>
  <c r="C9" i="6"/>
  <c r="C21" i="3"/>
  <c r="C5" i="6"/>
  <c r="D10" i="6"/>
  <c r="D26" i="3"/>
  <c r="C3" i="6"/>
  <c r="C19" i="3"/>
  <c r="D22" i="3"/>
  <c r="D6" i="6"/>
  <c r="D28" i="3"/>
  <c r="D13" i="6"/>
  <c r="D14" i="6"/>
  <c r="D29" i="3"/>
  <c r="D5" i="6"/>
  <c r="D21" i="3"/>
  <c r="D23" i="3"/>
  <c r="D7" i="6"/>
  <c r="C8" i="6"/>
  <c r="C24" i="3"/>
  <c r="D19" i="3"/>
  <c r="D3" i="6"/>
  <c r="C4" i="6"/>
  <c r="C20" i="3"/>
  <c r="C28" i="3"/>
  <c r="C13" i="6"/>
  <c r="C29" i="3"/>
  <c r="C14" i="6"/>
  <c r="D4" i="6"/>
  <c r="D20" i="3"/>
  <c r="C10" i="6"/>
  <c r="C26" i="3"/>
  <c r="C23" i="3"/>
  <c r="C7" i="6"/>
  <c r="C12" i="6"/>
  <c r="C27" i="3"/>
  <c r="D8" i="6"/>
  <c r="D24" i="3"/>
</calcChain>
</file>

<file path=xl/sharedStrings.xml><?xml version="1.0" encoding="utf-8"?>
<sst xmlns="http://schemas.openxmlformats.org/spreadsheetml/2006/main" count="228" uniqueCount="101">
  <si>
    <t>Тип</t>
  </si>
  <si>
    <t>Единицы измерения материалов</t>
  </si>
  <si>
    <t>Краткое название</t>
  </si>
  <si>
    <t>Группа</t>
  </si>
  <si>
    <t>Начисление</t>
  </si>
  <si>
    <t>Базовый календарь</t>
  </si>
  <si>
    <t>Заметки</t>
  </si>
  <si>
    <t>Трудовой</t>
  </si>
  <si>
    <t>PM</t>
  </si>
  <si>
    <t>PMO</t>
  </si>
  <si>
    <t>Пропорциональное</t>
  </si>
  <si>
    <t>A</t>
  </si>
  <si>
    <t>BI team</t>
  </si>
  <si>
    <t>SA</t>
  </si>
  <si>
    <t>MD</t>
  </si>
  <si>
    <t>RD</t>
  </si>
  <si>
    <t>DO</t>
  </si>
  <si>
    <t>DBA</t>
  </si>
  <si>
    <t>BU</t>
  </si>
  <si>
    <t>T</t>
  </si>
  <si>
    <t>Предшественники</t>
  </si>
  <si>
    <t>Да</t>
  </si>
  <si>
    <t>Название</t>
  </si>
  <si>
    <t>Название ресурса</t>
  </si>
  <si>
    <t>Стандартная ставка</t>
  </si>
  <si>
    <t>Ставка сверхурочных</t>
  </si>
  <si>
    <t>Затраты на использование</t>
  </si>
  <si>
    <t>Макс. единиц</t>
  </si>
  <si>
    <t>Стандартный</t>
  </si>
  <si>
    <t>Название задачи</t>
  </si>
  <si>
    <t>Единицы</t>
  </si>
  <si>
    <t>Режим задачи</t>
  </si>
  <si>
    <t>Автоматическое планирование</t>
  </si>
  <si>
    <t>Предварительная оценка</t>
  </si>
  <si>
    <t>Уровень структуры</t>
  </si>
  <si>
    <t>Kimball</t>
  </si>
  <si>
    <t>Data Vault</t>
  </si>
  <si>
    <t>Трудозатраты Kimball</t>
  </si>
  <si>
    <t>Трудозатраты Data Vault</t>
  </si>
  <si>
    <t>Длительность Kimball</t>
  </si>
  <si>
    <t>Длительность Data Vault</t>
  </si>
  <si>
    <t>Number of simple data sources, pcs.</t>
  </si>
  <si>
    <t>Number of average data sources, pcs.</t>
  </si>
  <si>
    <t>Number of complex data sources, pcs.</t>
  </si>
  <si>
    <t>Number of simple report pages, pcs.</t>
  </si>
  <si>
    <t>Number of average report pages, pcs.</t>
  </si>
  <si>
    <t>Number of complex report pages, pcs.</t>
  </si>
  <si>
    <t>Number of detail pages, pcs.</t>
  </si>
  <si>
    <t>Trial operation, days.</t>
  </si>
  <si>
    <t>Technical support, months</t>
  </si>
  <si>
    <t>Management and Communication</t>
  </si>
  <si>
    <t>Costs for importing from a simple data source, hh</t>
  </si>
  <si>
    <t>Costs for importing from an average data source, hh</t>
  </si>
  <si>
    <t>Costs for importing from a complex data source, hh</t>
  </si>
  <si>
    <t>Costs for creating a simple report page layout, hh</t>
  </si>
  <si>
    <t>Costs for creating a layout for the middle page of a report, hh</t>
  </si>
  <si>
    <t>Costs for creating the layout of a complex report page, hh</t>
  </si>
  <si>
    <t>Costs for creating a report page layout for detailing, hh</t>
  </si>
  <si>
    <t>Costs for implementing a simple report page, hh</t>
  </si>
  <si>
    <t>Costs for implementing the middle page of the report, hh</t>
  </si>
  <si>
    <t>Costs for implementing a complex report page, hh</t>
  </si>
  <si>
    <t>Costs for implementing a report page for detailing, hh</t>
  </si>
  <si>
    <t>Input cell</t>
  </si>
  <si>
    <t>- It is necessary to enter data in the cells highlighted by formatting</t>
  </si>
  <si>
    <t>Project Planning</t>
  </si>
  <si>
    <t>Business requirements definition</t>
  </si>
  <si>
    <t>Technical architecture design</t>
  </si>
  <si>
    <t>Dimensional modelling</t>
  </si>
  <si>
    <t>BI application design</t>
  </si>
  <si>
    <t>Physical design</t>
  </si>
  <si>
    <t>ETL design</t>
  </si>
  <si>
    <t>Product selection</t>
  </si>
  <si>
    <t>Product installation</t>
  </si>
  <si>
    <t>ETL development</t>
  </si>
  <si>
    <t>BI application development</t>
  </si>
  <si>
    <t>Deployment</t>
  </si>
  <si>
    <t>Beta test</t>
  </si>
  <si>
    <t>RELEASE</t>
  </si>
  <si>
    <t>Support</t>
  </si>
  <si>
    <t>Planning, analyze, design</t>
  </si>
  <si>
    <t>Development</t>
  </si>
  <si>
    <t>Project manager</t>
  </si>
  <si>
    <t>BI solution architect</t>
  </si>
  <si>
    <t>System analyst</t>
  </si>
  <si>
    <t>MSSQL developer</t>
  </si>
  <si>
    <t>Report developer</t>
  </si>
  <si>
    <t>DevOps specialist</t>
  </si>
  <si>
    <t>Database administrator</t>
  </si>
  <si>
    <t>Provides user support during the warranty period.</t>
  </si>
  <si>
    <t>Verify the business and operational functionality of the solution as it is developed.</t>
  </si>
  <si>
    <t>Provide requirements and help to prioritize the business questions that the data warehousing solution will answer. Often, the team includes a business analyst as a full-time member to help interpret the business questions and ensure that the solution design meets the needs of the users.</t>
  </si>
  <si>
    <t>Maintains data warehouse, provides access for users.</t>
  </si>
  <si>
    <t>Implements server and network infrastructure for a data warehouse solution, migrates code between environments, sets up CI/CD pipelines.</t>
  </si>
  <si>
    <t>Coordinates project tasks and schedules and ensures that the project is completed on time and within budget.</t>
  </si>
  <si>
    <t>Has overall responsibility for the technical design of the data warehousing solution.</t>
  </si>
  <si>
    <t>Examines and understands the data-related requirements, objectives, and constraints of the organization to design and develop an effective BI system.</t>
  </si>
  <si>
    <t>Builds database and ETL workflows to meet business requirements in analysis and reporting.</t>
  </si>
  <si>
    <t>Creates the reporting elements of the BI solution.</t>
  </si>
  <si>
    <t>Tester</t>
  </si>
  <si>
    <t>Business user</t>
  </si>
  <si>
    <t>Support specialist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</si>
</sst>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5">
    <xf numFmtId="0" fontId="0" fillId="0" borderId="0" xfId="0"/>
    <xf numFmtId="0" fontId="0" fillId="0" borderId="0" xfId="0" applyNumberFormat="1"/>
    <xf numFmtId="9" fontId="0" fillId="0" borderId="0" xfId="0" applyNumberFormat="1"/>
    <xf numFmtId="0" fontId="2" fillId="2" borderId="1" xfId="1"/>
    <xf numFmtId="0" fontId="0" fillId="3" borderId="2" xfId="2" quotePrefix="1" applyFont="1"/>
  </cellXfs>
  <cellStyles count="3">
    <cellStyle name="Вывод" xfId="1" builtinId="21"/>
    <cellStyle name="Обычный" xfId="0" builtinId="0"/>
    <cellStyle name="Примечание" xfId="2" builtinId="1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E47A6FC-0244-4667-9AD0-0848DCA8E0DC}" name="Таблица7" displayName="Таблица7" ref="A1:G18" totalsRowShown="0">
  <autoFilter ref="A1:G18" xr:uid="{ADC26A0C-7273-4036-A4C3-5D644DEA37CB}"/>
  <tableColumns count="7">
    <tableColumn id="1" xr3:uid="{8726924E-06EA-4926-8E28-76303FDA4039}" name="Режим задачи"/>
    <tableColumn id="2" xr3:uid="{666AA9F0-C803-48E1-984D-96AC67D5EF77}" name="Название"/>
    <tableColumn id="4" xr3:uid="{9921B853-CE03-4C3F-8B22-DD62AB0B156D}" name="Длительность Kimball" dataDxfId="4">
      <calculatedColumnFormula>ROUNDUP(_xlfn.MAXIFS(Таблица4[Трудозатраты Kimball],Таблица4[Название задачи],Таблица7[[#This Row],[Название]])/8,0)</calculatedColumnFormula>
    </tableColumn>
    <tableColumn id="7" xr3:uid="{57AF113D-39F8-4345-BADD-6487ECF89659}" name="Длительность Data Vault" dataDxfId="3">
      <calculatedColumnFormula>ROUNDUP(_xlfn.MAXIFS(Таблица4[Трудозатраты Data Vault],Таблица4[Название задачи],Таблица7[[#This Row],[Название]])/8,0)</calculatedColumnFormula>
    </tableColumn>
    <tableColumn id="5" xr3:uid="{6B72149E-0158-4460-8E7E-28102122817E}" name="Предшественники"/>
    <tableColumn id="6" xr3:uid="{85975E78-6CFA-4A9D-B224-207B28FD5448}" name="Предварительная оценка"/>
    <tableColumn id="8" xr3:uid="{FCA0BB59-7988-4858-955F-A0EFA7F2A649}" name="Уровень структуры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4AC4F1-0B56-4244-A77B-09F3FDBB0867}" name="Ресурсы" displayName="Ресурсы" ref="A1:L11" totalsRowShown="0">
  <autoFilter ref="A1:L11" xr:uid="{D2459930-1698-43AD-B509-1F1079BC4629}"/>
  <tableColumns count="12">
    <tableColumn id="13" xr3:uid="{A82C4F97-7216-4A63-8B18-64D2247412C2}" name="Название"/>
    <tableColumn id="2" xr3:uid="{EE191817-B216-442C-AF12-625556CE53A6}" name="Тип"/>
    <tableColumn id="3" xr3:uid="{4282BA1B-21D1-4A15-B100-87A828BD3FE3}" name="Единицы измерения материалов"/>
    <tableColumn id="4" xr3:uid="{20F4D017-3740-4EC3-AC06-A187A86C4CFC}" name="Краткое название"/>
    <tableColumn id="5" xr3:uid="{20C6222E-AA64-4928-A3B5-D3F40457C68C}" name="Группа"/>
    <tableColumn id="6" xr3:uid="{4C086AED-3DAC-4376-8ED2-C9A359AED17B}" name="Макс. единиц" dataDxfId="2"/>
    <tableColumn id="7" xr3:uid="{FED9DB91-648B-47C5-80CD-D481A57B1C3B}" name="Стандартная ставка"/>
    <tableColumn id="8" xr3:uid="{0802FE3A-7296-49A8-A9AB-987E75E0D337}" name="Ставка сверхурочных" dataDxfId="1"/>
    <tableColumn id="9" xr3:uid="{202A008A-849B-42D4-987A-93F2DB53095B}" name="Затраты на использование"/>
    <tableColumn id="10" xr3:uid="{A2D27E27-711C-4D3A-9103-F229875E1C06}" name="Начисление"/>
    <tableColumn id="11" xr3:uid="{5EB29BBB-57E2-447F-948C-B074E700BFAA}" name="Базовый календарь"/>
    <tableColumn id="12" xr3:uid="{B6F9D711-7BAA-4663-AA72-9C2AB5DB89F6}" name="Заметки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245ED55-C805-4448-BECC-81DAC17AB37E}" name="Таблица4" displayName="Таблица4" ref="A1:E31" totalsRowShown="0">
  <autoFilter ref="A1:E31" xr:uid="{26014FD3-475F-4414-83D3-B4EFC5F45F93}"/>
  <tableColumns count="5">
    <tableColumn id="2" xr3:uid="{0040C505-607A-48FE-9E6B-ACE08B7E5060}" name="Название задачи"/>
    <tableColumn id="3" xr3:uid="{F7D298B9-5EC0-4415-8F19-0641D66DD630}" name="Название ресурса"/>
    <tableColumn id="4" xr3:uid="{032160D0-CBD8-4649-AD34-7973682B9568}" name="Трудозатраты Kimball"/>
    <tableColumn id="1" xr3:uid="{2B40E6F9-07DE-47EC-A754-511124CD4ED2}" name="Трудозатраты Data Vault" dataDxfId="0"/>
    <tableColumn id="8" xr3:uid="{91F550CC-38BB-425C-973A-A23C1ADA1C49}" name="Единицы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597B-D34F-4FCF-B651-28150D7D7C7C}">
  <dimension ref="A1:F23"/>
  <sheetViews>
    <sheetView showGridLines="0" workbookViewId="0">
      <selection activeCell="B2" sqref="B2"/>
    </sheetView>
  </sheetViews>
  <sheetFormatPr defaultRowHeight="14.4" x14ac:dyDescent="0.3"/>
  <cols>
    <col min="1" max="1" width="55.77734375" customWidth="1"/>
    <col min="2" max="5" width="14.88671875" customWidth="1"/>
    <col min="6" max="6" width="65" bestFit="1" customWidth="1"/>
    <col min="7" max="11" width="14.88671875" customWidth="1"/>
  </cols>
  <sheetData>
    <row r="1" spans="1:6" x14ac:dyDescent="0.3">
      <c r="B1" t="s">
        <v>35</v>
      </c>
      <c r="C1" t="s">
        <v>36</v>
      </c>
      <c r="E1" s="3" t="s">
        <v>62</v>
      </c>
      <c r="F1" s="4" t="s">
        <v>63</v>
      </c>
    </row>
    <row r="2" spans="1:6" x14ac:dyDescent="0.3">
      <c r="A2" t="s">
        <v>41</v>
      </c>
      <c r="B2" s="3"/>
      <c r="C2">
        <f>B2</f>
        <v>0</v>
      </c>
    </row>
    <row r="3" spans="1:6" x14ac:dyDescent="0.3">
      <c r="A3" t="s">
        <v>42</v>
      </c>
      <c r="B3" s="3"/>
      <c r="C3">
        <f t="shared" ref="C3:C11" si="0">B3</f>
        <v>0</v>
      </c>
    </row>
    <row r="4" spans="1:6" x14ac:dyDescent="0.3">
      <c r="A4" t="s">
        <v>43</v>
      </c>
      <c r="B4" s="3"/>
      <c r="C4">
        <f t="shared" si="0"/>
        <v>0</v>
      </c>
    </row>
    <row r="5" spans="1:6" x14ac:dyDescent="0.3">
      <c r="A5" t="s">
        <v>44</v>
      </c>
      <c r="B5" s="3"/>
      <c r="C5">
        <f t="shared" si="0"/>
        <v>0</v>
      </c>
    </row>
    <row r="6" spans="1:6" x14ac:dyDescent="0.3">
      <c r="A6" t="s">
        <v>45</v>
      </c>
      <c r="B6" s="3"/>
      <c r="C6">
        <f t="shared" si="0"/>
        <v>0</v>
      </c>
    </row>
    <row r="7" spans="1:6" x14ac:dyDescent="0.3">
      <c r="A7" t="s">
        <v>46</v>
      </c>
      <c r="B7" s="3"/>
      <c r="C7">
        <f t="shared" si="0"/>
        <v>0</v>
      </c>
    </row>
    <row r="8" spans="1:6" x14ac:dyDescent="0.3">
      <c r="A8" t="s">
        <v>47</v>
      </c>
      <c r="B8" s="3"/>
      <c r="C8">
        <f t="shared" si="0"/>
        <v>0</v>
      </c>
    </row>
    <row r="9" spans="1:6" x14ac:dyDescent="0.3">
      <c r="A9" t="s">
        <v>48</v>
      </c>
      <c r="B9">
        <v>10</v>
      </c>
      <c r="C9">
        <f t="shared" si="0"/>
        <v>10</v>
      </c>
    </row>
    <row r="10" spans="1:6" x14ac:dyDescent="0.3">
      <c r="A10" t="s">
        <v>49</v>
      </c>
      <c r="B10">
        <v>3</v>
      </c>
      <c r="C10">
        <f t="shared" si="0"/>
        <v>3</v>
      </c>
    </row>
    <row r="11" spans="1:6" x14ac:dyDescent="0.3">
      <c r="A11" t="s">
        <v>50</v>
      </c>
      <c r="B11" s="2">
        <v>0.2</v>
      </c>
      <c r="C11">
        <f t="shared" si="0"/>
        <v>0.2</v>
      </c>
    </row>
    <row r="13" spans="1:6" x14ac:dyDescent="0.3">
      <c r="A13" t="s">
        <v>51</v>
      </c>
      <c r="B13">
        <v>4</v>
      </c>
      <c r="C13">
        <f>B13*2</f>
        <v>8</v>
      </c>
    </row>
    <row r="14" spans="1:6" x14ac:dyDescent="0.3">
      <c r="A14" t="s">
        <v>52</v>
      </c>
      <c r="B14">
        <v>16</v>
      </c>
      <c r="C14">
        <f t="shared" ref="C14:C15" si="1">B14*2</f>
        <v>32</v>
      </c>
    </row>
    <row r="15" spans="1:6" x14ac:dyDescent="0.3">
      <c r="A15" t="s">
        <v>53</v>
      </c>
      <c r="B15">
        <v>32</v>
      </c>
      <c r="C15">
        <f t="shared" si="1"/>
        <v>64</v>
      </c>
    </row>
    <row r="16" spans="1:6" x14ac:dyDescent="0.3">
      <c r="A16" t="s">
        <v>54</v>
      </c>
      <c r="B16">
        <v>2</v>
      </c>
      <c r="C16">
        <f>B16</f>
        <v>2</v>
      </c>
    </row>
    <row r="17" spans="1:3" x14ac:dyDescent="0.3">
      <c r="A17" t="s">
        <v>55</v>
      </c>
      <c r="B17">
        <v>4</v>
      </c>
      <c r="C17">
        <f t="shared" ref="C17:C19" si="2">B17</f>
        <v>4</v>
      </c>
    </row>
    <row r="18" spans="1:3" x14ac:dyDescent="0.3">
      <c r="A18" t="s">
        <v>56</v>
      </c>
      <c r="B18">
        <v>6</v>
      </c>
      <c r="C18">
        <f t="shared" si="2"/>
        <v>6</v>
      </c>
    </row>
    <row r="19" spans="1:3" x14ac:dyDescent="0.3">
      <c r="A19" t="s">
        <v>57</v>
      </c>
      <c r="B19">
        <v>0.5</v>
      </c>
      <c r="C19">
        <f t="shared" si="2"/>
        <v>0.5</v>
      </c>
    </row>
    <row r="20" spans="1:3" x14ac:dyDescent="0.3">
      <c r="A20" t="s">
        <v>58</v>
      </c>
      <c r="B20">
        <v>10</v>
      </c>
      <c r="C20">
        <f>B20*2</f>
        <v>20</v>
      </c>
    </row>
    <row r="21" spans="1:3" x14ac:dyDescent="0.3">
      <c r="A21" t="s">
        <v>59</v>
      </c>
      <c r="B21">
        <v>16</v>
      </c>
      <c r="C21">
        <f t="shared" ref="C21:C23" si="3">B21*2</f>
        <v>32</v>
      </c>
    </row>
    <row r="22" spans="1:3" x14ac:dyDescent="0.3">
      <c r="A22" t="s">
        <v>60</v>
      </c>
      <c r="B22">
        <v>32</v>
      </c>
      <c r="C22">
        <f t="shared" si="3"/>
        <v>64</v>
      </c>
    </row>
    <row r="23" spans="1:3" x14ac:dyDescent="0.3">
      <c r="A23" t="s">
        <v>61</v>
      </c>
      <c r="B23">
        <v>2</v>
      </c>
      <c r="C23">
        <f t="shared" si="3"/>
        <v>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F16E7-03C4-42FD-9B31-66E3A69B9388}">
  <sheetPr>
    <tabColor theme="9" tint="-0.249977111117893"/>
  </sheetPr>
  <dimension ref="A1:G18"/>
  <sheetViews>
    <sheetView showGridLines="0" workbookViewId="0">
      <selection activeCell="B12" sqref="B12"/>
    </sheetView>
  </sheetViews>
  <sheetFormatPr defaultRowHeight="14.4" x14ac:dyDescent="0.3"/>
  <cols>
    <col min="1" max="1" width="28.44140625" bestFit="1" customWidth="1"/>
    <col min="2" max="2" width="54.77734375" bestFit="1" customWidth="1"/>
    <col min="3" max="3" width="19" customWidth="1"/>
    <col min="4" max="4" width="24.88671875" bestFit="1" customWidth="1"/>
    <col min="5" max="5" width="19" customWidth="1"/>
    <col min="6" max="6" width="25.21875" customWidth="1"/>
    <col min="7" max="7" width="20.44140625" bestFit="1" customWidth="1"/>
  </cols>
  <sheetData>
    <row r="1" spans="1:7" x14ac:dyDescent="0.3">
      <c r="A1" t="s">
        <v>31</v>
      </c>
      <c r="B1" t="s">
        <v>22</v>
      </c>
      <c r="C1" t="s">
        <v>39</v>
      </c>
      <c r="D1" t="s">
        <v>40</v>
      </c>
      <c r="E1" t="s">
        <v>20</v>
      </c>
      <c r="F1" t="s">
        <v>33</v>
      </c>
      <c r="G1" t="s">
        <v>34</v>
      </c>
    </row>
    <row r="2" spans="1:7" x14ac:dyDescent="0.3">
      <c r="A2" t="s">
        <v>32</v>
      </c>
      <c r="B2" t="s">
        <v>79</v>
      </c>
      <c r="F2" t="s">
        <v>21</v>
      </c>
      <c r="G2">
        <v>1</v>
      </c>
    </row>
    <row r="3" spans="1:7" x14ac:dyDescent="0.3">
      <c r="A3" t="s">
        <v>32</v>
      </c>
      <c r="B3" t="s">
        <v>64</v>
      </c>
      <c r="C3">
        <f ca="1">ROUNDUP(_xlfn.MAXIFS(Таблица4[Трудозатраты Kimball],Таблица4[Название задачи],Таблица7[[#This Row],[Название]])/8,0)</f>
        <v>2</v>
      </c>
      <c r="D3">
        <f ca="1">ROUNDUP(_xlfn.MAXIFS(Таблица4[Трудозатраты Data Vault],Таблица4[Название задачи],Таблица7[[#This Row],[Название]])/8,0)</f>
        <v>2</v>
      </c>
      <c r="F3" t="s">
        <v>21</v>
      </c>
      <c r="G3">
        <v>2</v>
      </c>
    </row>
    <row r="4" spans="1:7" x14ac:dyDescent="0.3">
      <c r="A4" t="s">
        <v>32</v>
      </c>
      <c r="B4" t="s">
        <v>65</v>
      </c>
      <c r="C4">
        <f ca="1">ROUNDUP(_xlfn.MAXIFS(Таблица4[Трудозатраты Kimball],Таблица4[Название задачи],Таблица7[[#This Row],[Название]])/8,0)</f>
        <v>0</v>
      </c>
      <c r="D4">
        <f ca="1">ROUNDUP(_xlfn.MAXIFS(Таблица4[Трудозатраты Data Vault],Таблица4[Название задачи],Таблица7[[#This Row],[Название]])/8,0)</f>
        <v>0</v>
      </c>
      <c r="E4">
        <v>2</v>
      </c>
      <c r="F4" t="s">
        <v>21</v>
      </c>
      <c r="G4">
        <v>2</v>
      </c>
    </row>
    <row r="5" spans="1:7" x14ac:dyDescent="0.3">
      <c r="A5" t="s">
        <v>32</v>
      </c>
      <c r="B5" t="s">
        <v>66</v>
      </c>
      <c r="C5">
        <f ca="1">ROUNDUP(_xlfn.MAXIFS(Таблица4[Трудозатраты Kimball],Таблица4[Название задачи],Таблица7[[#This Row],[Название]])/8,0)</f>
        <v>1</v>
      </c>
      <c r="D5">
        <f ca="1">ROUNDUP(_xlfn.MAXIFS(Таблица4[Трудозатраты Data Vault],Таблица4[Название задачи],Таблица7[[#This Row],[Название]])/8,0)</f>
        <v>2</v>
      </c>
      <c r="E5">
        <v>3</v>
      </c>
      <c r="F5" t="s">
        <v>21</v>
      </c>
      <c r="G5">
        <v>2</v>
      </c>
    </row>
    <row r="6" spans="1:7" x14ac:dyDescent="0.3">
      <c r="A6" t="s">
        <v>32</v>
      </c>
      <c r="B6" t="s">
        <v>71</v>
      </c>
      <c r="C6">
        <f ca="1">ROUNDUP(_xlfn.MAXIFS(Таблица4[Трудозатраты Kimball],Таблица4[Название задачи],Таблица7[[#This Row],[Название]])/8,0)</f>
        <v>1</v>
      </c>
      <c r="D6">
        <f ca="1">ROUNDUP(_xlfn.MAXIFS(Таблица4[Трудозатраты Data Vault],Таблица4[Название задачи],Таблица7[[#This Row],[Название]])/8,0)</f>
        <v>2</v>
      </c>
      <c r="E6">
        <v>4</v>
      </c>
      <c r="F6" t="s">
        <v>21</v>
      </c>
      <c r="G6">
        <v>2</v>
      </c>
    </row>
    <row r="7" spans="1:7" x14ac:dyDescent="0.3">
      <c r="A7" t="s">
        <v>32</v>
      </c>
      <c r="B7" t="s">
        <v>67</v>
      </c>
      <c r="C7">
        <f ca="1">ROUNDUP(_xlfn.MAXIFS(Таблица4[Трудозатраты Kimball],Таблица4[Название задачи],Таблица7[[#This Row],[Название]])/8,0)</f>
        <v>0</v>
      </c>
      <c r="D7">
        <f ca="1">ROUNDUP(_xlfn.MAXIFS(Таблица4[Трудозатраты Data Vault],Таблица4[Название задачи],Таблица7[[#This Row],[Название]])/8,0)</f>
        <v>0</v>
      </c>
      <c r="E7">
        <v>3</v>
      </c>
      <c r="F7" t="s">
        <v>21</v>
      </c>
      <c r="G7">
        <v>2</v>
      </c>
    </row>
    <row r="8" spans="1:7" x14ac:dyDescent="0.3">
      <c r="A8" t="s">
        <v>32</v>
      </c>
      <c r="B8" t="s">
        <v>68</v>
      </c>
      <c r="C8">
        <f ca="1">ROUNDUP(_xlfn.MAXIFS(Таблица4[Трудозатраты Kimball],Таблица4[Название задачи],Таблица7[[#This Row],[Название]])/8,0)</f>
        <v>0</v>
      </c>
      <c r="D8">
        <f ca="1">ROUNDUP(_xlfn.MAXIFS(Таблица4[Трудозатраты Data Vault],Таблица4[Название задачи],Таблица7[[#This Row],[Название]])/8,0)</f>
        <v>0</v>
      </c>
      <c r="E8">
        <v>3</v>
      </c>
      <c r="F8" t="s">
        <v>21</v>
      </c>
      <c r="G8">
        <v>2</v>
      </c>
    </row>
    <row r="9" spans="1:7" x14ac:dyDescent="0.3">
      <c r="A9" t="s">
        <v>32</v>
      </c>
      <c r="B9" t="s">
        <v>69</v>
      </c>
      <c r="C9">
        <f ca="1">ROUNDUP(_xlfn.MAXIFS(Таблица4[Трудозатраты Kimball],Таблица4[Название задачи],Таблица7[[#This Row],[Название]])/8,0)</f>
        <v>3</v>
      </c>
      <c r="D9">
        <f ca="1">ROUNDUP(_xlfn.MAXIFS(Таблица4[Трудозатраты Data Vault],Таблица4[Название задачи],Таблица7[[#This Row],[Название]])/8,0)</f>
        <v>4</v>
      </c>
      <c r="E9">
        <v>6</v>
      </c>
      <c r="F9" t="s">
        <v>21</v>
      </c>
      <c r="G9">
        <v>2</v>
      </c>
    </row>
    <row r="10" spans="1:7" x14ac:dyDescent="0.3">
      <c r="A10" t="s">
        <v>32</v>
      </c>
      <c r="B10" t="s">
        <v>70</v>
      </c>
      <c r="C10">
        <f ca="1">ROUNDUP(_xlfn.MAXIFS(Таблица4[Трудозатраты Kimball],Таблица4[Название задачи],Таблица7[[#This Row],[Название]])/8,0)</f>
        <v>0</v>
      </c>
      <c r="D10">
        <f ca="1">ROUNDUP(_xlfn.MAXIFS(Таблица4[Трудозатраты Data Vault],Таблица4[Название задачи],Таблица7[[#This Row],[Название]])/8,0)</f>
        <v>0</v>
      </c>
      <c r="E10">
        <v>8</v>
      </c>
      <c r="F10" t="s">
        <v>21</v>
      </c>
      <c r="G10">
        <v>2</v>
      </c>
    </row>
    <row r="11" spans="1:7" x14ac:dyDescent="0.3">
      <c r="A11" t="s">
        <v>32</v>
      </c>
      <c r="B11" t="s">
        <v>80</v>
      </c>
      <c r="F11" t="s">
        <v>21</v>
      </c>
      <c r="G11">
        <v>1</v>
      </c>
    </row>
    <row r="12" spans="1:7" x14ac:dyDescent="0.3">
      <c r="A12" t="s">
        <v>32</v>
      </c>
      <c r="B12" t="s">
        <v>72</v>
      </c>
      <c r="C12">
        <f ca="1">ROUNDUP(_xlfn.MAXIFS(Таблица4[Трудозатраты Kimball],Таблица4[Название задачи],Таблица7[[#This Row],[Название]])/8,0)</f>
        <v>1</v>
      </c>
      <c r="D12">
        <f ca="1">ROUNDUP(_xlfn.MAXIFS(Таблица4[Трудозатраты Data Vault],Таблица4[Название задачи],Таблица7[[#This Row],[Название]])/8,0)</f>
        <v>1</v>
      </c>
      <c r="E12">
        <v>5</v>
      </c>
      <c r="F12" t="s">
        <v>21</v>
      </c>
      <c r="G12">
        <v>2</v>
      </c>
    </row>
    <row r="13" spans="1:7" x14ac:dyDescent="0.3">
      <c r="A13" t="s">
        <v>32</v>
      </c>
      <c r="B13" t="s">
        <v>73</v>
      </c>
      <c r="C13">
        <f ca="1">ROUNDUP(_xlfn.MAXIFS(Таблица4[Трудозатраты Kimball],Таблица4[Название задачи],Таблица7[[#This Row],[Название]])/8,0)</f>
        <v>0</v>
      </c>
      <c r="D13">
        <f ca="1">ROUNDUP(_xlfn.MAXIFS(Таблица4[Трудозатраты Data Vault],Таблица4[Название задачи],Таблица7[[#This Row],[Название]])/8,0)</f>
        <v>0</v>
      </c>
      <c r="E13">
        <v>9</v>
      </c>
      <c r="F13" t="s">
        <v>21</v>
      </c>
      <c r="G13">
        <v>2</v>
      </c>
    </row>
    <row r="14" spans="1:7" x14ac:dyDescent="0.3">
      <c r="A14" t="s">
        <v>32</v>
      </c>
      <c r="B14" t="s">
        <v>74</v>
      </c>
      <c r="C14">
        <f ca="1">ROUNDUP(_xlfn.MAXIFS(Таблица4[Трудозатраты Kimball],Таблица4[Название задачи],Таблица7[[#This Row],[Название]])/8,0)</f>
        <v>2</v>
      </c>
      <c r="D14">
        <f ca="1">ROUNDUP(_xlfn.MAXIFS(Таблица4[Трудозатраты Data Vault],Таблица4[Название задачи],Таблица7[[#This Row],[Название]])/8,0)</f>
        <v>2</v>
      </c>
      <c r="E14">
        <v>7</v>
      </c>
      <c r="F14" t="s">
        <v>21</v>
      </c>
      <c r="G14">
        <v>2</v>
      </c>
    </row>
    <row r="15" spans="1:7" x14ac:dyDescent="0.3">
      <c r="A15" t="s">
        <v>32</v>
      </c>
      <c r="B15" t="s">
        <v>75</v>
      </c>
      <c r="C15">
        <f>ROUNDUP(_xlfn.MAXIFS(Таблица4[Трудозатраты Kimball],Таблица4[Название задачи],Таблица7[[#This Row],[Название]])/8,0)</f>
        <v>2</v>
      </c>
      <c r="D15">
        <f>ROUNDUP(_xlfn.MAXIFS(Таблица4[Трудозатраты Data Vault],Таблица4[Название задачи],Таблица7[[#This Row],[Название]])/8,0)</f>
        <v>4</v>
      </c>
      <c r="E15">
        <v>10</v>
      </c>
      <c r="F15" t="s">
        <v>21</v>
      </c>
      <c r="G15">
        <v>1</v>
      </c>
    </row>
    <row r="16" spans="1:7" x14ac:dyDescent="0.3">
      <c r="A16" t="s">
        <v>32</v>
      </c>
      <c r="B16" t="s">
        <v>76</v>
      </c>
      <c r="C16">
        <f>Parameters!B9</f>
        <v>10</v>
      </c>
      <c r="D16">
        <f>ROUNDUP(_xlfn.MAXIFS(Таблица4[Трудозатраты Data Vault],Таблица4[Название задачи],Таблица7[[#This Row],[Название]])/8,0)</f>
        <v>3</v>
      </c>
      <c r="E16">
        <v>14</v>
      </c>
      <c r="F16" t="s">
        <v>21</v>
      </c>
      <c r="G16">
        <v>1</v>
      </c>
    </row>
    <row r="17" spans="1:7" x14ac:dyDescent="0.3">
      <c r="A17" t="s">
        <v>32</v>
      </c>
      <c r="B17" t="s">
        <v>77</v>
      </c>
      <c r="C17">
        <f>ROUNDUP(_xlfn.MAXIFS(Таблица4[Трудозатраты Kimball],Таблица4[Название задачи],Таблица7[[#This Row],[Название]])/8,0)</f>
        <v>0</v>
      </c>
      <c r="D17">
        <f>ROUNDUP(_xlfn.MAXIFS(Таблица4[Трудозатраты Data Vault],Таблица4[Название задачи],Таблица7[[#This Row],[Название]])/8,0)</f>
        <v>0</v>
      </c>
      <c r="E17">
        <v>15</v>
      </c>
      <c r="F17" t="s">
        <v>21</v>
      </c>
      <c r="G17">
        <v>1</v>
      </c>
    </row>
    <row r="18" spans="1:7" x14ac:dyDescent="0.3">
      <c r="A18" t="s">
        <v>32</v>
      </c>
      <c r="B18" t="s">
        <v>78</v>
      </c>
      <c r="C18">
        <f>Parameters!B10*20</f>
        <v>60</v>
      </c>
      <c r="D18">
        <f>ROUNDUP(_xlfn.MAXIFS(Таблица4[Трудозатраты Data Vault],Таблица4[Название задачи],Таблица7[[#This Row],[Название]])/8,0)</f>
        <v>12</v>
      </c>
      <c r="E18">
        <v>16</v>
      </c>
      <c r="F18" t="s">
        <v>21</v>
      </c>
      <c r="G18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16C28-CEBD-446E-9AFC-A87121F9A7B7}">
  <sheetPr>
    <tabColor theme="9" tint="-0.249977111117893"/>
  </sheetPr>
  <dimension ref="A1:L11"/>
  <sheetViews>
    <sheetView showGridLines="0" workbookViewId="0">
      <selection activeCell="D29" sqref="D29"/>
    </sheetView>
  </sheetViews>
  <sheetFormatPr defaultRowHeight="14.4" x14ac:dyDescent="0.3"/>
  <cols>
    <col min="1" max="1" width="25.21875" bestFit="1" customWidth="1"/>
    <col min="3" max="3" width="7.33203125" customWidth="1"/>
    <col min="4" max="4" width="5.44140625" customWidth="1"/>
    <col min="5" max="5" width="9.109375" customWidth="1"/>
    <col min="6" max="6" width="11.88671875" customWidth="1"/>
    <col min="7" max="7" width="10.5546875" customWidth="1"/>
    <col min="8" max="8" width="9.44140625" customWidth="1"/>
    <col min="9" max="9" width="12.5546875" customWidth="1"/>
    <col min="10" max="10" width="18.21875" bestFit="1" customWidth="1"/>
    <col min="11" max="11" width="20.88671875" bestFit="1" customWidth="1"/>
    <col min="12" max="12" width="89.33203125" customWidth="1"/>
  </cols>
  <sheetData>
    <row r="1" spans="1:12" x14ac:dyDescent="0.3">
      <c r="A1" t="s">
        <v>22</v>
      </c>
      <c r="B1" t="s">
        <v>0</v>
      </c>
      <c r="C1" t="s">
        <v>1</v>
      </c>
      <c r="D1" t="s">
        <v>2</v>
      </c>
      <c r="E1" t="s">
        <v>3</v>
      </c>
      <c r="F1" t="s">
        <v>27</v>
      </c>
      <c r="G1" t="s">
        <v>24</v>
      </c>
      <c r="H1" t="s">
        <v>25</v>
      </c>
      <c r="I1" t="s">
        <v>26</v>
      </c>
      <c r="J1" t="s">
        <v>4</v>
      </c>
      <c r="K1" t="s">
        <v>5</v>
      </c>
      <c r="L1" t="s">
        <v>6</v>
      </c>
    </row>
    <row r="2" spans="1:12" x14ac:dyDescent="0.3">
      <c r="A2" t="s">
        <v>81</v>
      </c>
      <c r="B2" t="s">
        <v>7</v>
      </c>
      <c r="D2" t="s">
        <v>8</v>
      </c>
      <c r="E2" t="s">
        <v>9</v>
      </c>
      <c r="F2" s="1">
        <v>100</v>
      </c>
      <c r="G2">
        <v>0</v>
      </c>
      <c r="H2">
        <v>0</v>
      </c>
      <c r="I2">
        <v>0</v>
      </c>
      <c r="J2" t="s">
        <v>10</v>
      </c>
      <c r="K2" t="s">
        <v>28</v>
      </c>
      <c r="L2" t="s">
        <v>93</v>
      </c>
    </row>
    <row r="3" spans="1:12" x14ac:dyDescent="0.3">
      <c r="A3" t="s">
        <v>82</v>
      </c>
      <c r="B3" t="s">
        <v>7</v>
      </c>
      <c r="D3" t="s">
        <v>11</v>
      </c>
      <c r="E3" t="s">
        <v>12</v>
      </c>
      <c r="F3" s="1">
        <v>100</v>
      </c>
      <c r="G3">
        <v>0</v>
      </c>
      <c r="H3">
        <v>0</v>
      </c>
      <c r="I3">
        <v>0</v>
      </c>
      <c r="J3" t="s">
        <v>10</v>
      </c>
      <c r="K3" t="s">
        <v>28</v>
      </c>
      <c r="L3" t="s">
        <v>94</v>
      </c>
    </row>
    <row r="4" spans="1:12" x14ac:dyDescent="0.3">
      <c r="A4" t="s">
        <v>83</v>
      </c>
      <c r="B4" t="s">
        <v>7</v>
      </c>
      <c r="D4" t="s">
        <v>13</v>
      </c>
      <c r="E4" t="s">
        <v>12</v>
      </c>
      <c r="F4" s="1">
        <v>100</v>
      </c>
      <c r="G4">
        <v>0</v>
      </c>
      <c r="H4">
        <v>0</v>
      </c>
      <c r="I4">
        <v>0</v>
      </c>
      <c r="J4" t="s">
        <v>10</v>
      </c>
      <c r="K4" t="s">
        <v>28</v>
      </c>
      <c r="L4" t="s">
        <v>95</v>
      </c>
    </row>
    <row r="5" spans="1:12" x14ac:dyDescent="0.3">
      <c r="A5" t="s">
        <v>84</v>
      </c>
      <c r="B5" t="s">
        <v>7</v>
      </c>
      <c r="D5" t="s">
        <v>14</v>
      </c>
      <c r="E5" t="s">
        <v>12</v>
      </c>
      <c r="F5" s="1">
        <v>100</v>
      </c>
      <c r="G5">
        <v>0</v>
      </c>
      <c r="H5">
        <v>0</v>
      </c>
      <c r="I5">
        <v>0</v>
      </c>
      <c r="J5" t="s">
        <v>10</v>
      </c>
      <c r="K5" t="s">
        <v>28</v>
      </c>
      <c r="L5" t="s">
        <v>96</v>
      </c>
    </row>
    <row r="6" spans="1:12" x14ac:dyDescent="0.3">
      <c r="A6" t="s">
        <v>85</v>
      </c>
      <c r="B6" t="s">
        <v>7</v>
      </c>
      <c r="D6" t="s">
        <v>15</v>
      </c>
      <c r="E6" t="s">
        <v>12</v>
      </c>
      <c r="F6" s="1">
        <v>100</v>
      </c>
      <c r="G6">
        <v>0</v>
      </c>
      <c r="H6">
        <v>0</v>
      </c>
      <c r="I6">
        <v>0</v>
      </c>
      <c r="J6" t="s">
        <v>10</v>
      </c>
      <c r="K6" t="s">
        <v>28</v>
      </c>
      <c r="L6" t="s">
        <v>97</v>
      </c>
    </row>
    <row r="7" spans="1:12" x14ac:dyDescent="0.3">
      <c r="A7" t="s">
        <v>86</v>
      </c>
      <c r="B7" t="s">
        <v>7</v>
      </c>
      <c r="D7" t="s">
        <v>16</v>
      </c>
      <c r="E7" t="s">
        <v>12</v>
      </c>
      <c r="F7" s="1">
        <v>100</v>
      </c>
      <c r="G7">
        <v>0</v>
      </c>
      <c r="H7">
        <v>0</v>
      </c>
      <c r="I7">
        <v>0</v>
      </c>
      <c r="J7" t="s">
        <v>10</v>
      </c>
      <c r="K7" t="s">
        <v>28</v>
      </c>
      <c r="L7" t="s">
        <v>92</v>
      </c>
    </row>
    <row r="8" spans="1:12" x14ac:dyDescent="0.3">
      <c r="A8" t="s">
        <v>87</v>
      </c>
      <c r="B8" t="s">
        <v>7</v>
      </c>
      <c r="D8" t="s">
        <v>17</v>
      </c>
      <c r="F8" s="1">
        <v>100</v>
      </c>
      <c r="G8">
        <v>0</v>
      </c>
      <c r="H8">
        <v>0</v>
      </c>
      <c r="I8">
        <v>0</v>
      </c>
      <c r="J8" t="s">
        <v>10</v>
      </c>
      <c r="K8" t="s">
        <v>28</v>
      </c>
      <c r="L8" t="s">
        <v>91</v>
      </c>
    </row>
    <row r="9" spans="1:12" x14ac:dyDescent="0.3">
      <c r="A9" t="s">
        <v>99</v>
      </c>
      <c r="B9" t="s">
        <v>7</v>
      </c>
      <c r="D9" t="s">
        <v>18</v>
      </c>
      <c r="F9" s="1">
        <v>100</v>
      </c>
      <c r="G9">
        <v>0</v>
      </c>
      <c r="H9">
        <v>0</v>
      </c>
      <c r="I9">
        <v>0</v>
      </c>
      <c r="J9" t="s">
        <v>10</v>
      </c>
      <c r="K9" t="s">
        <v>28</v>
      </c>
      <c r="L9" t="s">
        <v>90</v>
      </c>
    </row>
    <row r="10" spans="1:12" x14ac:dyDescent="0.3">
      <c r="A10" t="s">
        <v>98</v>
      </c>
      <c r="B10" t="s">
        <v>7</v>
      </c>
      <c r="D10" t="s">
        <v>19</v>
      </c>
      <c r="E10" t="s">
        <v>12</v>
      </c>
      <c r="F10" s="1">
        <v>100</v>
      </c>
      <c r="G10">
        <v>0</v>
      </c>
      <c r="H10">
        <v>0</v>
      </c>
      <c r="I10">
        <v>0</v>
      </c>
      <c r="J10" t="s">
        <v>10</v>
      </c>
      <c r="K10" t="s">
        <v>28</v>
      </c>
      <c r="L10" t="s">
        <v>89</v>
      </c>
    </row>
    <row r="11" spans="1:12" x14ac:dyDescent="0.3">
      <c r="A11" t="s">
        <v>100</v>
      </c>
      <c r="B11" t="s">
        <v>7</v>
      </c>
      <c r="D11" t="s">
        <v>13</v>
      </c>
      <c r="E11" t="s">
        <v>12</v>
      </c>
      <c r="F11" s="1">
        <v>100</v>
      </c>
      <c r="G11">
        <v>0</v>
      </c>
      <c r="H11">
        <v>0</v>
      </c>
      <c r="I11">
        <v>0</v>
      </c>
      <c r="J11" t="s">
        <v>10</v>
      </c>
      <c r="K11" t="s">
        <v>28</v>
      </c>
      <c r="L11" t="s">
        <v>88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5C239-F3AA-453C-A062-832B59294995}">
  <sheetPr>
    <tabColor theme="9" tint="-0.249977111117893"/>
  </sheetPr>
  <dimension ref="A1:E31"/>
  <sheetViews>
    <sheetView showGridLines="0" tabSelected="1" workbookViewId="0">
      <selection activeCell="A17" sqref="A17"/>
    </sheetView>
  </sheetViews>
  <sheetFormatPr defaultRowHeight="14.4" x14ac:dyDescent="0.3"/>
  <cols>
    <col min="1" max="1" width="54.77734375" bestFit="1" customWidth="1"/>
    <col min="2" max="2" width="21.5546875" bestFit="1" customWidth="1"/>
    <col min="3" max="3" width="22.44140625" bestFit="1" customWidth="1"/>
    <col min="4" max="4" width="25.109375" bestFit="1" customWidth="1"/>
    <col min="5" max="5" width="11.21875" bestFit="1" customWidth="1"/>
  </cols>
  <sheetData>
    <row r="1" spans="1:5" x14ac:dyDescent="0.3">
      <c r="A1" t="s">
        <v>29</v>
      </c>
      <c r="B1" t="s">
        <v>23</v>
      </c>
      <c r="C1" t="s">
        <v>37</v>
      </c>
      <c r="D1" t="s">
        <v>38</v>
      </c>
      <c r="E1" t="s">
        <v>30</v>
      </c>
    </row>
    <row r="2" spans="1:5" x14ac:dyDescent="0.3">
      <c r="A2" t="s">
        <v>64</v>
      </c>
      <c r="B2" t="s">
        <v>82</v>
      </c>
      <c r="C2">
        <v>16</v>
      </c>
      <c r="D2">
        <v>16</v>
      </c>
      <c r="E2">
        <v>100</v>
      </c>
    </row>
    <row r="3" spans="1:5" x14ac:dyDescent="0.3">
      <c r="A3" t="s">
        <v>65</v>
      </c>
      <c r="B3" t="s">
        <v>82</v>
      </c>
      <c r="C3">
        <f>3*SUM(Parameters!B5:B7)</f>
        <v>0</v>
      </c>
      <c r="D3">
        <f>6*SUM(Parameters!C5:C7)</f>
        <v>0</v>
      </c>
      <c r="E3">
        <v>100</v>
      </c>
    </row>
    <row r="4" spans="1:5" x14ac:dyDescent="0.3">
      <c r="A4" t="s">
        <v>66</v>
      </c>
      <c r="B4" t="s">
        <v>82</v>
      </c>
      <c r="C4">
        <v>8</v>
      </c>
      <c r="D4">
        <v>16</v>
      </c>
      <c r="E4">
        <v>100</v>
      </c>
    </row>
    <row r="5" spans="1:5" x14ac:dyDescent="0.3">
      <c r="A5" t="s">
        <v>71</v>
      </c>
      <c r="B5" t="s">
        <v>82</v>
      </c>
      <c r="C5">
        <v>8</v>
      </c>
      <c r="D5">
        <v>16</v>
      </c>
      <c r="E5">
        <v>100</v>
      </c>
    </row>
    <row r="6" spans="1:5" x14ac:dyDescent="0.3">
      <c r="A6" t="s">
        <v>67</v>
      </c>
      <c r="B6" t="s">
        <v>82</v>
      </c>
      <c r="C6">
        <f>SUM(Parameters!B2:B4)</f>
        <v>0</v>
      </c>
      <c r="D6">
        <f>SUM(Parameters!C2:C4)*2</f>
        <v>0</v>
      </c>
      <c r="E6">
        <v>100</v>
      </c>
    </row>
    <row r="7" spans="1:5" x14ac:dyDescent="0.3">
      <c r="A7" t="s">
        <v>69</v>
      </c>
      <c r="B7" t="s">
        <v>82</v>
      </c>
      <c r="C7">
        <v>24</v>
      </c>
      <c r="D7">
        <v>32</v>
      </c>
      <c r="E7">
        <v>100</v>
      </c>
    </row>
    <row r="8" spans="1:5" x14ac:dyDescent="0.3">
      <c r="A8" t="s">
        <v>70</v>
      </c>
      <c r="B8" t="s">
        <v>82</v>
      </c>
      <c r="C8">
        <f>4*SUM(Parameters!B2:B4)</f>
        <v>0</v>
      </c>
      <c r="D8">
        <f>6*SUM(Parameters!C2:C4)</f>
        <v>0</v>
      </c>
      <c r="E8">
        <v>100</v>
      </c>
    </row>
    <row r="9" spans="1:5" x14ac:dyDescent="0.3">
      <c r="A9" t="s">
        <v>72</v>
      </c>
      <c r="B9" t="s">
        <v>82</v>
      </c>
      <c r="C9">
        <v>8</v>
      </c>
      <c r="D9">
        <v>8</v>
      </c>
      <c r="E9">
        <v>100</v>
      </c>
    </row>
    <row r="10" spans="1:5" x14ac:dyDescent="0.3">
      <c r="A10" t="s">
        <v>75</v>
      </c>
      <c r="B10" t="s">
        <v>82</v>
      </c>
      <c r="C10">
        <v>16</v>
      </c>
      <c r="D10">
        <v>32</v>
      </c>
      <c r="E10">
        <v>100</v>
      </c>
    </row>
    <row r="11" spans="1:5" x14ac:dyDescent="0.3">
      <c r="A11" t="s">
        <v>65</v>
      </c>
      <c r="B11" t="s">
        <v>83</v>
      </c>
      <c r="C11">
        <f>3*SUM(Parameters!B5:B7)</f>
        <v>0</v>
      </c>
      <c r="D11">
        <f>3*SUM(Parameters!C5:C7)*2</f>
        <v>0</v>
      </c>
      <c r="E11">
        <v>100</v>
      </c>
    </row>
    <row r="12" spans="1:5" x14ac:dyDescent="0.3">
      <c r="A12" t="s">
        <v>67</v>
      </c>
      <c r="B12" t="s">
        <v>83</v>
      </c>
      <c r="C12">
        <f>SUM(Parameters!B2:B4)</f>
        <v>0</v>
      </c>
      <c r="D12">
        <f>SUM(Parameters!C2:C4)*2</f>
        <v>0</v>
      </c>
      <c r="E12">
        <v>100</v>
      </c>
    </row>
    <row r="13" spans="1:5" x14ac:dyDescent="0.3">
      <c r="A13" t="s">
        <v>73</v>
      </c>
      <c r="B13" t="s">
        <v>84</v>
      </c>
      <c r="C13">
        <f>SUMPRODUCT(Parameters!B2:B4,Parameters!B13:B15)+16*SUM(Parameters!B5:B7)</f>
        <v>0</v>
      </c>
      <c r="D13">
        <f>SUMPRODUCT(Parameters!C2:C4,Parameters!C13:C15)+16*SUM(Parameters!C5:C7)</f>
        <v>0</v>
      </c>
      <c r="E13">
        <v>100</v>
      </c>
    </row>
    <row r="14" spans="1:5" x14ac:dyDescent="0.3">
      <c r="A14" t="s">
        <v>74</v>
      </c>
      <c r="B14" t="s">
        <v>85</v>
      </c>
      <c r="C14">
        <f>SUMPRODUCT(Parameters!B5:B8,Parameters!B20:B23)+16*SUM(Parameters!B5:B7)+16</f>
        <v>16</v>
      </c>
      <c r="D14">
        <f>SUMPRODUCT(Parameters!C5:C8,Parameters!C20:C23)+16*SUM(Parameters!C5:C7)+16</f>
        <v>16</v>
      </c>
      <c r="E14">
        <v>100</v>
      </c>
    </row>
    <row r="15" spans="1:5" x14ac:dyDescent="0.3">
      <c r="A15" t="s">
        <v>75</v>
      </c>
      <c r="B15" t="s">
        <v>84</v>
      </c>
      <c r="C15">
        <f>4*SUM(Parameters!B5:B7)</f>
        <v>0</v>
      </c>
      <c r="D15">
        <f>8*SUM(Parameters!C5:C7)</f>
        <v>0</v>
      </c>
      <c r="E15">
        <v>100</v>
      </c>
    </row>
    <row r="16" spans="1:5" x14ac:dyDescent="0.3">
      <c r="A16" t="s">
        <v>80</v>
      </c>
      <c r="B16" t="s">
        <v>86</v>
      </c>
      <c r="C16">
        <v>8</v>
      </c>
      <c r="D16">
        <v>8</v>
      </c>
      <c r="E16">
        <v>100</v>
      </c>
    </row>
    <row r="17" spans="1:5" x14ac:dyDescent="0.3">
      <c r="A17" t="s">
        <v>68</v>
      </c>
      <c r="B17" t="s">
        <v>85</v>
      </c>
      <c r="C17">
        <f>SUMPRODUCT(Parameters!B5:B7,Parameters!B16:B18)+SUM(Parameters!B5:B7)</f>
        <v>0</v>
      </c>
      <c r="D17">
        <f>SUMPRODUCT(Parameters!C5:C7,Parameters!C16:C18)+SUM(Parameters!C5:C7)</f>
        <v>0</v>
      </c>
      <c r="E17">
        <v>100</v>
      </c>
    </row>
    <row r="18" spans="1:5" x14ac:dyDescent="0.3">
      <c r="A18" t="s">
        <v>78</v>
      </c>
      <c r="B18" t="s">
        <v>100</v>
      </c>
      <c r="C18">
        <f>Parameters!B10*20*8*0.2</f>
        <v>96</v>
      </c>
      <c r="D18">
        <f>Parameters!C10*20*8*0.2</f>
        <v>96</v>
      </c>
      <c r="E18">
        <v>100</v>
      </c>
    </row>
    <row r="19" spans="1:5" x14ac:dyDescent="0.3">
      <c r="A19" t="s">
        <v>64</v>
      </c>
      <c r="B19" t="s">
        <v>81</v>
      </c>
      <c r="C19">
        <f ca="1">ROUNDUP(SUMIFS(Таблица4[Трудозатраты Kimball],Таблица4[Название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D19">
        <f ca="1">ROUNDUP(SUMIFS(Таблица4[Трудозатраты Data Vault],Таблица4[Название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E19">
        <v>0.2</v>
      </c>
    </row>
    <row r="20" spans="1:5" x14ac:dyDescent="0.3">
      <c r="A20" t="s">
        <v>65</v>
      </c>
      <c r="B20" t="s">
        <v>81</v>
      </c>
      <c r="C20">
        <f ca="1">ROUNDUP(SUMIFS(Таблица4[Трудозатраты Kimball],Таблица4[Название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D20">
        <f ca="1">ROUNDUP(SUMIFS(Таблица4[Трудозатраты Data Vault],Таблица4[Название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E20">
        <v>0.2</v>
      </c>
    </row>
    <row r="21" spans="1:5" x14ac:dyDescent="0.3">
      <c r="A21" t="s">
        <v>66</v>
      </c>
      <c r="B21" t="s">
        <v>81</v>
      </c>
      <c r="C21">
        <f ca="1">ROUNDUP(SUMIFS(Таблица4[Трудозатраты Kimball],Таблица4[Название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D21">
        <f ca="1">ROUNDUP(SUMIFS(Таблица4[Трудозатраты Data Vault],Таблица4[Название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E21">
        <v>0.2</v>
      </c>
    </row>
    <row r="22" spans="1:5" x14ac:dyDescent="0.3">
      <c r="A22" t="s">
        <v>71</v>
      </c>
      <c r="B22" t="s">
        <v>81</v>
      </c>
      <c r="C22">
        <f ca="1">ROUNDUP(SUMIFS(Таблица4[Трудозатраты Kimball],Таблица4[Название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D22">
        <f ca="1">ROUNDUP(SUMIFS(Таблица4[Трудозатраты Data Vault],Таблица4[Название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E22">
        <v>0.2</v>
      </c>
    </row>
    <row r="23" spans="1:5" x14ac:dyDescent="0.3">
      <c r="A23" t="s">
        <v>67</v>
      </c>
      <c r="B23" t="s">
        <v>81</v>
      </c>
      <c r="C23">
        <f ca="1">ROUNDUP(SUMIFS(Таблица4[Трудозатраты Kimball],Таблица4[Название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D23">
        <f ca="1">ROUNDUP(SUMIFS(Таблица4[Трудозатраты Data Vault],Таблица4[Название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E23">
        <v>0.2</v>
      </c>
    </row>
    <row r="24" spans="1:5" x14ac:dyDescent="0.3">
      <c r="A24" t="s">
        <v>68</v>
      </c>
      <c r="B24" t="s">
        <v>81</v>
      </c>
      <c r="C24">
        <f ca="1">ROUNDUP(SUMIFS(Таблица4[Трудозатраты Kimball],Таблица4[Название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D24">
        <f ca="1">ROUNDUP(SUMIFS(Таблица4[Трудозатраты Data Vault],Таблица4[Название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E24">
        <v>0.2</v>
      </c>
    </row>
    <row r="25" spans="1:5" x14ac:dyDescent="0.3">
      <c r="A25" t="s">
        <v>69</v>
      </c>
      <c r="B25" t="s">
        <v>81</v>
      </c>
      <c r="C25">
        <f ca="1">ROUNDUP(SUMIFS(Таблица4[Трудозатраты Kimball],Таблица4[Название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D25">
        <f ca="1">ROUNDUP(SUMIFS(Таблица4[Трудозатраты Data Vault],Таблица4[Название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E25">
        <v>0.2</v>
      </c>
    </row>
    <row r="26" spans="1:5" x14ac:dyDescent="0.3">
      <c r="A26" t="s">
        <v>70</v>
      </c>
      <c r="B26" t="s">
        <v>81</v>
      </c>
      <c r="C26">
        <f ca="1">ROUNDUP(SUMIFS(Таблица4[Трудозатраты Kimball],Таблица4[Название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D26">
        <f ca="1">ROUNDUP(SUMIFS(Таблица4[Трудозатраты Data Vault],Таблица4[Название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E26">
        <v>0.2</v>
      </c>
    </row>
    <row r="27" spans="1:5" x14ac:dyDescent="0.3">
      <c r="A27" t="s">
        <v>72</v>
      </c>
      <c r="B27" t="s">
        <v>81</v>
      </c>
      <c r="C27">
        <f ca="1">ROUNDUP(SUMIFS(Таблица4[Трудозатраты Kimball],Таблица4[Название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D27">
        <f ca="1">ROUNDUP(SUMIFS(Таблица4[Трудозатраты Data Vault],Таблица4[Название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E27">
        <v>0.2</v>
      </c>
    </row>
    <row r="28" spans="1:5" x14ac:dyDescent="0.3">
      <c r="A28" t="s">
        <v>73</v>
      </c>
      <c r="B28" t="s">
        <v>81</v>
      </c>
      <c r="C28">
        <f ca="1">ROUNDUP(SUMIFS(Таблица4[Трудозатраты Kimball],Таблица4[Название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D28">
        <f ca="1">ROUNDUP(SUMIFS(Таблица4[Трудозатраты Data Vault],Таблица4[Название задачи],Таблица4[[#This Row],[Название задачи]],Таблица4[Название ресурса],"&lt;&gt;Менеджер проекта")*Таблица4[[#This Row],[Единицы]],0)</f>
        <v>0</v>
      </c>
      <c r="E28">
        <v>0.2</v>
      </c>
    </row>
    <row r="29" spans="1:5" x14ac:dyDescent="0.3">
      <c r="A29" t="s">
        <v>74</v>
      </c>
      <c r="B29" t="s">
        <v>81</v>
      </c>
      <c r="C29">
        <f ca="1">ROUNDUP(SUMIFS(Таблица4[Трудозатраты Kimball],Таблица4[Название задачи],Таблица4[[#This Row],[Название задачи]],Таблица4[Название ресурса],"&lt;&gt;Менеджер проекта")*Таблица4[[#This Row],[Единицы]],0)</f>
        <v>4</v>
      </c>
      <c r="D29">
        <f ca="1">ROUNDUP(SUMIFS(Таблица4[Трудозатраты Data Vault],Таблица4[Название задачи],Таблица4[[#This Row],[Название задачи]],Таблица4[Название ресурса],"&lt;&gt;Менеджер проекта")*Таблица4[[#This Row],[Единицы]],0)</f>
        <v>4</v>
      </c>
      <c r="E29">
        <v>0.2</v>
      </c>
    </row>
    <row r="30" spans="1:5" x14ac:dyDescent="0.3">
      <c r="A30" t="s">
        <v>76</v>
      </c>
      <c r="B30" t="s">
        <v>87</v>
      </c>
      <c r="C30">
        <v>4</v>
      </c>
      <c r="D30">
        <v>4</v>
      </c>
      <c r="E30">
        <v>100</v>
      </c>
    </row>
    <row r="31" spans="1:5" x14ac:dyDescent="0.3">
      <c r="A31" t="s">
        <v>76</v>
      </c>
      <c r="B31" t="s">
        <v>98</v>
      </c>
      <c r="C31">
        <f>Parameters!B9*8*0.25</f>
        <v>20</v>
      </c>
      <c r="D31">
        <f>Parameters!C9*8*0.25</f>
        <v>20</v>
      </c>
      <c r="E31">
        <v>100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1E7F5A-A7FF-482C-8A57-E6B15045C613}">
          <x14:formula1>
            <xm:f>Tasks!$B$2:$B$18</xm:f>
          </x14:formula1>
          <xm:sqref>A2:A31</xm:sqref>
        </x14:dataValidation>
        <x14:dataValidation type="list" allowBlank="1" showInputMessage="1" showErrorMessage="1" xr:uid="{16C08A7E-820A-42AF-95CF-1DC042614471}">
          <x14:formula1>
            <xm:f>Resources!$A$2:$A$11</xm:f>
          </x14:formula1>
          <xm:sqref>B2:B31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453A3C-3A6A-44FF-B9DD-4FB007EADA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Parameters</vt:lpstr>
      <vt:lpstr>Tasks</vt:lpstr>
      <vt:lpstr>Resources</vt:lpstr>
      <vt:lpstr>Assign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Presale трудозатраты</dc:title>
  <dc:creator>ZinukovD</dc:creator>
  <cp:keywords>Presale</cp:keywords>
  <cp:lastModifiedBy>ZinukovD</cp:lastModifiedBy>
  <dcterms:created xsi:type="dcterms:W3CDTF">2024-03-30T16:21:15Z</dcterms:created>
  <dcterms:modified xsi:type="dcterms:W3CDTF">2024-04-03T04:30:30Z</dcterms:modified>
</cp:coreProperties>
</file>